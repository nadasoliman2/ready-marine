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11"/>
  <workbookPr filterPrivacy="1"/>
  <xr:revisionPtr revIDLastSave="0" documentId="13_ncr:1_{4318E5AB-B059-4879-A6A1-263E2921D0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تقرير التتبع" sheetId="1" r:id="rId1"/>
    <sheet name="تحليل المبيعات والمدفوعا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K21" i="2"/>
  <c r="B14" i="2"/>
  <c r="B13" i="2"/>
  <c r="B12" i="2"/>
  <c r="I9" i="2"/>
  <c r="H11" i="2"/>
  <c r="K10" i="2"/>
  <c r="J10" i="2"/>
  <c r="I10" i="2"/>
  <c r="H10" i="2"/>
  <c r="L6" i="2"/>
  <c r="H16" i="2"/>
  <c r="G6" i="2"/>
  <c r="J5" i="2"/>
  <c r="J6" i="2" s="1"/>
  <c r="K6" i="2"/>
  <c r="I6" i="2"/>
  <c r="F6" i="2"/>
  <c r="E6" i="2"/>
  <c r="H6" i="2"/>
  <c r="B9" i="2"/>
  <c r="U15" i="1"/>
  <c r="T15" i="1"/>
  <c r="P15" i="1"/>
  <c r="O15" i="1"/>
  <c r="N15" i="1"/>
  <c r="M15" i="1"/>
  <c r="K15" i="1"/>
  <c r="I15" i="1"/>
  <c r="H15" i="1"/>
  <c r="G15" i="1"/>
  <c r="P14" i="1"/>
  <c r="J14" i="1"/>
  <c r="L14" i="1" s="1"/>
  <c r="Q14" i="1" s="1"/>
  <c r="P13" i="1"/>
  <c r="J13" i="1"/>
  <c r="L13" i="1" s="1"/>
  <c r="Q13" i="1" s="1"/>
  <c r="P12" i="1"/>
  <c r="J12" i="1"/>
  <c r="L12" i="1" s="1"/>
  <c r="Q12" i="1" s="1"/>
  <c r="P11" i="1"/>
  <c r="J11" i="1"/>
  <c r="L11" i="1" s="1"/>
  <c r="Q11" i="1" s="1"/>
  <c r="P10" i="1"/>
  <c r="J10" i="1"/>
  <c r="L10" i="1" s="1"/>
  <c r="Q10" i="1" s="1"/>
  <c r="P9" i="1"/>
  <c r="J9" i="1"/>
  <c r="L9" i="1" s="1"/>
  <c r="Q9" i="1" s="1"/>
  <c r="P8" i="1"/>
  <c r="J8" i="1"/>
  <c r="L8" i="1" s="1"/>
  <c r="Q8" i="1" s="1"/>
  <c r="P7" i="1"/>
  <c r="J7" i="1"/>
  <c r="L7" i="1" s="1"/>
  <c r="Q7" i="1" s="1"/>
  <c r="P6" i="1"/>
  <c r="J6" i="1"/>
  <c r="L6" i="1" s="1"/>
  <c r="Q6" i="1" s="1"/>
  <c r="P5" i="1"/>
  <c r="J5" i="1"/>
  <c r="L5" i="1" s="1"/>
  <c r="Q5" i="1" s="1"/>
  <c r="P4" i="1"/>
  <c r="J4" i="1"/>
  <c r="J15" i="1" s="1"/>
  <c r="L4" i="1" l="1"/>
  <c r="Q4" i="1" l="1"/>
  <c r="Q15" i="1" s="1"/>
  <c r="L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يعرض فقط الاموال المحولة لريدي كار خلال فترة التقرير
بوسطة: 445 (1)</t>
        </r>
      </text>
    </comment>
    <comment ref="W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يعرض فقط الاموال المحولة للتاجر خلال فترة التقرير
1 تحويل</t>
        </r>
      </text>
    </comment>
  </commentList>
</comments>
</file>

<file path=xl/sharedStrings.xml><?xml version="1.0" encoding="utf-8"?>
<sst xmlns="http://schemas.openxmlformats.org/spreadsheetml/2006/main" count="136" uniqueCount="95">
  <si>
    <t>READYCAR TRACKING REPORT</t>
  </si>
  <si>
    <t>الفترة من</t>
  </si>
  <si>
    <t xml:space="preserve">الفترة الي </t>
  </si>
  <si>
    <t xml:space="preserve">التقرير يعرض الطلبات فقط المنفذة خلال الفترة </t>
  </si>
  <si>
    <t>م</t>
  </si>
  <si>
    <t>رقم الطلب</t>
  </si>
  <si>
    <t>اسم العميل</t>
  </si>
  <si>
    <t>تاريخ الطلب</t>
  </si>
  <si>
    <t>تاريخ اخر استلام</t>
  </si>
  <si>
    <t>حاله الطلب</t>
  </si>
  <si>
    <t>مبلغ الطلب</t>
  </si>
  <si>
    <t>خصم</t>
  </si>
  <si>
    <t>ولاء العملاء</t>
  </si>
  <si>
    <t>صافي الطلب</t>
  </si>
  <si>
    <t>قيمة الشحن</t>
  </si>
  <si>
    <t xml:space="preserve">الاجمالي </t>
  </si>
  <si>
    <t>عمولة ريدي كار</t>
  </si>
  <si>
    <t>صافي التاجر</t>
  </si>
  <si>
    <t>تكلفة الشحن</t>
  </si>
  <si>
    <t>هامش الشحن</t>
  </si>
  <si>
    <t>اجمالي ربح ريدي كار</t>
  </si>
  <si>
    <t>طريقة الدفع</t>
  </si>
  <si>
    <t>الشركة المسؤولة عن التحصيل</t>
  </si>
  <si>
    <t>المبلغ المحصل</t>
  </si>
  <si>
    <t>عمولة التحصيل</t>
  </si>
  <si>
    <t xml:space="preserve">مبلغ التحويل للبنك </t>
  </si>
  <si>
    <t xml:space="preserve">مبلغ التحويل للتاجر </t>
  </si>
  <si>
    <t>REF-4CRVSZAW</t>
  </si>
  <si>
    <t>mohamed youssef</t>
  </si>
  <si>
    <t>مسلم</t>
  </si>
  <si>
    <t>WALLET</t>
  </si>
  <si>
    <t>ريدي كار (المحفظة)</t>
  </si>
  <si>
    <t>8192529</t>
  </si>
  <si>
    <t>VISA</t>
  </si>
  <si>
    <t>فواتيرك</t>
  </si>
  <si>
    <t>REF-C3G4C8WU</t>
  </si>
  <si>
    <t>haitham Sultan</t>
  </si>
  <si>
    <t>COD</t>
  </si>
  <si>
    <t>بوسطة</t>
  </si>
  <si>
    <t>REF-5B6CDL6U</t>
  </si>
  <si>
    <t>Kenzy Adawy</t>
  </si>
  <si>
    <t>ملغي</t>
  </si>
  <si>
    <t>—</t>
  </si>
  <si>
    <t>REF-3I3NRFWZ</t>
  </si>
  <si>
    <t>REF-38682BAV</t>
  </si>
  <si>
    <t>mohamed</t>
  </si>
  <si>
    <t>REF-LDCX1TRT</t>
  </si>
  <si>
    <t>8354934</t>
  </si>
  <si>
    <t>Car</t>
  </si>
  <si>
    <t>8363569</t>
  </si>
  <si>
    <t>REF-1ZGJ2SWR</t>
  </si>
  <si>
    <t>REF-F328M31G</t>
  </si>
  <si>
    <t>الإجمالي</t>
  </si>
  <si>
    <t>طريقة الحساب:</t>
  </si>
  <si>
    <t>• الطلبات المعروضة: الطلبات اللي كل طرودها وصلت لحالة نهائية (مسلم / ملغي / مرتجع) وآخر حدث فيها داخل الفترة.</t>
  </si>
  <si>
    <t>• المبالغ محسوبة على الطرود المسلّمة فقط. الطلب الملغي يظهر بتكلفته الفعلية فقط (مثل رسوم إلغاء Arrive)، والطرد المرفوض بتكلفة الذهاب والرجوع.</t>
  </si>
  <si>
    <t>• الخصم = إجمالي خصم الكوبون. نصيب التاجر منه داخل في صافي التاجر، ونصيب ريدي كار داخل في الربح.</t>
  </si>
  <si>
    <t>• صافي التاجر والعمولة = المسجلين وقت التسليم. المرتجعات بعد التسليم تظهر في شاشة المرتجعات.</t>
  </si>
  <si>
    <t>• تكلفة الشحن لا تشمل رسوم التحصيل النقدي لبوسطة؛ دي في عمولة التحصيل.</t>
  </si>
  <si>
    <t>• عمولة التحصيل: الدفع عند الاستلام = رسوم بوسطة على التحصيل، البطاقة = عمولة بوابة الدفع (2% + 2 جنيه + ضريبة لو مش مسجلة)، المحفظة = صفر.</t>
  </si>
  <si>
    <t>• اجمالي ربح ريدي كار = الاجمالي − صافي التاجر − تكلفة الشحن − عمولة التحصيل.</t>
  </si>
  <si>
    <t>• مبلغ التحويل للبنك = تحويلات بوابات الدفع وشركات الشحن المسجلة في الخزنة خلال الفترة. مبلغ التحويل للتاجر = مدفوعات التجار المدفوعة خلال الفترة.</t>
  </si>
  <si>
    <t>إجمالي اللي اتدفع</t>
  </si>
  <si>
    <t>منها لسه برّه البنك</t>
  </si>
  <si>
    <t>منها نزل البنك</t>
  </si>
  <si>
    <t>عمولة البوابات + مصاريف شركات الشحن</t>
  </si>
  <si>
    <t>عند بوابات الدفع</t>
  </si>
  <si>
    <t>عند شركات الشحن</t>
  </si>
  <si>
    <t>تفاصيل اللي لسه برّه البنك</t>
  </si>
  <si>
    <t xml:space="preserve">اجمالي </t>
  </si>
  <si>
    <t>Paymob</t>
  </si>
  <si>
    <t>تفاصيل المبالغ عند بوابات الدفع</t>
  </si>
  <si>
    <t>محصل</t>
  </si>
  <si>
    <t>عمولتهم</t>
  </si>
  <si>
    <t>رصيد</t>
  </si>
  <si>
    <t xml:space="preserve">رصيد محافظ العملاء </t>
  </si>
  <si>
    <t>شحن محافظ</t>
  </si>
  <si>
    <t>مستلزمات تغليف</t>
  </si>
  <si>
    <t>اوردرات</t>
  </si>
  <si>
    <t>bosta</t>
  </si>
  <si>
    <t>سحب اوردرات</t>
  </si>
  <si>
    <t>صافي</t>
  </si>
  <si>
    <t xml:space="preserve">مرتجع ( اترد بالمحفظة ) </t>
  </si>
  <si>
    <t>اجمالي المبيعات</t>
  </si>
  <si>
    <t>شحن</t>
  </si>
  <si>
    <t>محافظ العملاء</t>
  </si>
  <si>
    <t>اجمالي اللي اتدفع</t>
  </si>
  <si>
    <t>من المبيعات</t>
  </si>
  <si>
    <t>اخري</t>
  </si>
  <si>
    <t>صافي التجار</t>
  </si>
  <si>
    <t>قيمة الشحن المدفوع من العملاء</t>
  </si>
  <si>
    <t>ولاء العملاء والخصومات</t>
  </si>
  <si>
    <t>قيمة الشحن الفعلي</t>
  </si>
  <si>
    <t>محول للتجار</t>
  </si>
  <si>
    <t>مستحق 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</si>
</sst>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26" x14ac:knownFonts="1">
    <font>
      <sz val="11"/>
      <color theme="1"/>
      <name val="Calibri"/>
      <family val="2"/>
      <scheme val="minor"/>
    </font>
    <font>
      <b/>
      <sz val="14"/>
      <color rgb="FFDC2626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b/>
      <sz val="12"/>
      <name val="Arial"/>
    </font>
    <font>
      <b/>
      <sz val="10"/>
      <color rgb="FF111827"/>
      <name val="Arial"/>
    </font>
    <font>
      <sz val="10"/>
      <color rgb="FF52525B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Arial"/>
      <family val="2"/>
    </font>
    <font>
      <b/>
      <sz val="12"/>
      <color rgb="FFDC2626"/>
      <name val="Arial"/>
      <family val="2"/>
    </font>
    <font>
      <b/>
      <sz val="12"/>
      <color rgb="FF059669"/>
      <name val="Arial"/>
      <family val="2"/>
    </font>
    <font>
      <b/>
      <sz val="12"/>
      <color rgb="FFD97706"/>
      <name val="Arial"/>
      <family val="2"/>
    </font>
    <font>
      <b/>
      <sz val="12"/>
      <color rgb="FF18181B"/>
      <name val="Arial"/>
      <family val="2"/>
    </font>
    <font>
      <b/>
      <sz val="12"/>
      <color rgb="FF71717A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8181B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Arial"/>
      <family val="2"/>
    </font>
    <font>
      <sz val="14"/>
      <color theme="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DC262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FEF2F2"/>
      </patternFill>
    </fill>
    <fill>
      <patternFill patternType="solid">
        <fgColor rgb="FFF4F4F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7F1D1D"/>
      </bottom>
      <diagonal/>
    </border>
    <border>
      <left/>
      <right/>
      <top style="medium">
        <color rgb="FFDC2626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center" vertical="center"/>
    </xf>
    <xf numFmtId="4" fontId="3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  <xf numFmtId="4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14" fillId="0" borderId="0" xfId="0" applyFont="1"/>
    <xf numFmtId="43" fontId="12" fillId="0" borderId="0" xfId="1" applyFont="1"/>
    <xf numFmtId="43" fontId="13" fillId="0" borderId="0" xfId="1" applyFont="1"/>
    <xf numFmtId="43" fontId="14" fillId="0" borderId="0" xfId="1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4" fontId="15" fillId="0" borderId="0" xfId="0" applyNumberFormat="1" applyFont="1"/>
    <xf numFmtId="4" fontId="0" fillId="0" borderId="0" xfId="0" applyNumberFormat="1"/>
    <xf numFmtId="43" fontId="0" fillId="5" borderId="0" xfId="1" applyFont="1" applyFill="1"/>
    <xf numFmtId="0" fontId="19" fillId="0" borderId="0" xfId="0" applyFont="1" applyAlignment="1">
      <alignment horizontal="center"/>
    </xf>
    <xf numFmtId="43" fontId="0" fillId="0" borderId="0" xfId="0" applyNumberFormat="1"/>
    <xf numFmtId="4" fontId="3" fillId="5" borderId="0" xfId="0" applyNumberFormat="1" applyFont="1" applyFill="1" applyAlignment="1">
      <alignment horizontal="center" vertical="center"/>
    </xf>
    <xf numFmtId="0" fontId="10" fillId="5" borderId="0" xfId="0" applyFont="1" applyFill="1"/>
    <xf numFmtId="43" fontId="20" fillId="5" borderId="0" xfId="1" applyFont="1" applyFill="1"/>
    <xf numFmtId="43" fontId="22" fillId="5" borderId="0" xfId="1" applyFont="1" applyFill="1"/>
    <xf numFmtId="43" fontId="12" fillId="5" borderId="0" xfId="1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/>
    <xf numFmtId="0" fontId="16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18" fillId="0" borderId="0" xfId="1" applyFont="1"/>
    <xf numFmtId="0" fontId="9" fillId="0" borderId="0" xfId="0" applyFont="1"/>
    <xf numFmtId="0" fontId="9" fillId="6" borderId="0" xfId="0" applyFont="1" applyFill="1"/>
    <xf numFmtId="43" fontId="18" fillId="6" borderId="0" xfId="1" applyFont="1" applyFill="1"/>
    <xf numFmtId="0" fontId="10" fillId="5" borderId="0" xfId="0" applyFont="1" applyFill="1" applyAlignment="1"/>
    <xf numFmtId="0" fontId="23" fillId="5" borderId="0" xfId="0" applyFont="1" applyFill="1"/>
    <xf numFmtId="0" fontId="23" fillId="7" borderId="0" xfId="0" applyFont="1" applyFill="1" applyAlignment="1">
      <alignment horizontal="center"/>
    </xf>
    <xf numFmtId="0" fontId="10" fillId="7" borderId="0" xfId="0" applyFont="1" applyFill="1"/>
    <xf numFmtId="43" fontId="22" fillId="7" borderId="0" xfId="1" applyFont="1" applyFill="1"/>
    <xf numFmtId="0" fontId="20" fillId="7" borderId="0" xfId="0" applyFont="1" applyFill="1" applyAlignment="1">
      <alignment horizontal="center"/>
    </xf>
    <xf numFmtId="43" fontId="20" fillId="7" borderId="0" xfId="0" applyNumberFormat="1" applyFont="1" applyFill="1"/>
    <xf numFmtId="0" fontId="23" fillId="7" borderId="0" xfId="0" applyFont="1" applyFill="1"/>
    <xf numFmtId="43" fontId="20" fillId="7" borderId="0" xfId="1" applyFont="1" applyFill="1"/>
    <xf numFmtId="43" fontId="20" fillId="7" borderId="0" xfId="0" applyNumberFormat="1" applyFont="1" applyFill="1" applyAlignment="1">
      <alignment horizontal="center"/>
    </xf>
    <xf numFmtId="4" fontId="24" fillId="0" borderId="2" xfId="0" applyNumberFormat="1" applyFont="1" applyBorder="1" applyAlignment="1">
      <alignment horizontal="center"/>
    </xf>
    <xf numFmtId="0" fontId="25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rightToLeft="1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7" sqref="B7"/>
    </sheetView>
  </sheetViews>
  <sheetFormatPr defaultRowHeight="14.5" x14ac:dyDescent="0.35"/>
  <cols>
    <col min="1" max="1" width="6" customWidth="1"/>
    <col min="2" max="2" width="34.08984375" customWidth="1"/>
    <col min="3" max="3" width="22" customWidth="1"/>
    <col min="4" max="4" width="13" customWidth="1"/>
    <col min="5" max="5" width="15" customWidth="1"/>
    <col min="6" max="6" width="16" customWidth="1"/>
    <col min="7" max="7" width="13" customWidth="1"/>
    <col min="8" max="8" width="11" customWidth="1"/>
    <col min="9" max="9" width="12" customWidth="1"/>
    <col min="10" max="10" width="13" customWidth="1"/>
    <col min="11" max="11" width="12" customWidth="1"/>
    <col min="12" max="12" width="13" customWidth="1"/>
    <col min="13" max="13" width="14" customWidth="1"/>
    <col min="14" max="14" width="13" customWidth="1"/>
    <col min="15" max="16" width="12" customWidth="1"/>
    <col min="17" max="17" width="16" customWidth="1"/>
    <col min="18" max="18" width="12" customWidth="1"/>
    <col min="19" max="19" width="22" customWidth="1"/>
    <col min="20" max="20" width="14" customWidth="1"/>
    <col min="21" max="21" width="13" customWidth="1"/>
    <col min="22" max="23" width="18" customWidth="1"/>
  </cols>
  <sheetData>
    <row r="1" spans="1:23" ht="18" customHeight="1" x14ac:dyDescent="0.4">
      <c r="A1" s="1" t="s">
        <v>0</v>
      </c>
    </row>
    <row r="2" spans="1:23" x14ac:dyDescent="0.35">
      <c r="G2" s="2" t="s">
        <v>1</v>
      </c>
      <c r="H2" s="3">
        <v>46266</v>
      </c>
      <c r="J2" s="2" t="s">
        <v>2</v>
      </c>
      <c r="K2" s="3">
        <v>46295</v>
      </c>
      <c r="M2" s="18" t="s">
        <v>3</v>
      </c>
      <c r="N2" s="18"/>
      <c r="O2" s="18"/>
      <c r="P2" s="18"/>
    </row>
    <row r="3" spans="1:23" ht="32" customHeight="1" x14ac:dyDescent="0.3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  <c r="W3" s="4" t="s">
        <v>26</v>
      </c>
    </row>
    <row r="4" spans="1:23" x14ac:dyDescent="0.35">
      <c r="A4" s="5">
        <v>1</v>
      </c>
      <c r="B4" s="5" t="s">
        <v>27</v>
      </c>
      <c r="C4" s="6" t="s">
        <v>28</v>
      </c>
      <c r="D4" s="7">
        <v>46259.426110625005</v>
      </c>
      <c r="E4" s="7">
        <v>46282.460300590275</v>
      </c>
      <c r="F4" s="5" t="s">
        <v>29</v>
      </c>
      <c r="G4" s="8">
        <v>240</v>
      </c>
      <c r="H4" s="8">
        <v>0</v>
      </c>
      <c r="I4" s="8">
        <v>0</v>
      </c>
      <c r="J4" s="8">
        <f t="shared" ref="J4:J14" si="0">G4-H4-I4</f>
        <v>240</v>
      </c>
      <c r="K4" s="8">
        <v>120</v>
      </c>
      <c r="L4" s="8">
        <f t="shared" ref="L4:L14" si="1">J4+K4</f>
        <v>360</v>
      </c>
      <c r="M4" s="8">
        <v>24</v>
      </c>
      <c r="N4" s="8">
        <v>216</v>
      </c>
      <c r="O4" s="8">
        <v>100</v>
      </c>
      <c r="P4" s="8">
        <f t="shared" ref="P4:P14" si="2">K4-O4</f>
        <v>20</v>
      </c>
      <c r="Q4" s="8">
        <f t="shared" ref="Q4:Q14" si="3">L4-N4-O4-U4</f>
        <v>44</v>
      </c>
      <c r="R4" s="5" t="s">
        <v>30</v>
      </c>
      <c r="S4" s="6" t="s">
        <v>31</v>
      </c>
      <c r="T4" s="8">
        <v>360</v>
      </c>
      <c r="U4" s="8">
        <v>0</v>
      </c>
      <c r="V4" s="19">
        <v>445</v>
      </c>
      <c r="W4" s="19">
        <v>72.89</v>
      </c>
    </row>
    <row r="5" spans="1:23" x14ac:dyDescent="0.35">
      <c r="A5" s="9">
        <v>2</v>
      </c>
      <c r="B5" s="9" t="s">
        <v>32</v>
      </c>
      <c r="C5" s="10" t="s">
        <v>28</v>
      </c>
      <c r="D5" s="11">
        <v>46261.535912395833</v>
      </c>
      <c r="E5" s="11">
        <v>46282.460139907409</v>
      </c>
      <c r="F5" s="9" t="s">
        <v>29</v>
      </c>
      <c r="G5" s="12">
        <v>278</v>
      </c>
      <c r="H5" s="12">
        <v>13.9</v>
      </c>
      <c r="I5" s="12">
        <v>0</v>
      </c>
      <c r="J5" s="12">
        <f t="shared" si="0"/>
        <v>264.10000000000002</v>
      </c>
      <c r="K5" s="12">
        <v>240</v>
      </c>
      <c r="L5" s="12">
        <f t="shared" si="1"/>
        <v>504.1</v>
      </c>
      <c r="M5" s="12">
        <v>30.45</v>
      </c>
      <c r="N5" s="12">
        <v>247.55</v>
      </c>
      <c r="O5" s="12">
        <v>200</v>
      </c>
      <c r="P5" s="12">
        <f t="shared" si="2"/>
        <v>40</v>
      </c>
      <c r="Q5" s="12">
        <f t="shared" si="3"/>
        <v>42.780000000000015</v>
      </c>
      <c r="R5" s="9" t="s">
        <v>33</v>
      </c>
      <c r="S5" s="10" t="s">
        <v>34</v>
      </c>
      <c r="T5" s="34">
        <v>504.1</v>
      </c>
      <c r="U5" s="12">
        <v>13.77</v>
      </c>
      <c r="V5" s="19"/>
      <c r="W5" s="19"/>
    </row>
    <row r="6" spans="1:23" x14ac:dyDescent="0.35">
      <c r="A6" s="5">
        <v>3</v>
      </c>
      <c r="B6" s="5" t="s">
        <v>35</v>
      </c>
      <c r="C6" s="6" t="s">
        <v>36</v>
      </c>
      <c r="D6" s="7">
        <v>46272.581183240742</v>
      </c>
      <c r="E6" s="7">
        <v>46282.500534803243</v>
      </c>
      <c r="F6" s="5" t="s">
        <v>29</v>
      </c>
      <c r="G6" s="8">
        <v>240</v>
      </c>
      <c r="H6" s="8">
        <v>0</v>
      </c>
      <c r="I6" s="8">
        <v>0</v>
      </c>
      <c r="J6" s="8">
        <f t="shared" si="0"/>
        <v>240</v>
      </c>
      <c r="K6" s="8">
        <v>25</v>
      </c>
      <c r="L6" s="8">
        <f t="shared" si="1"/>
        <v>265</v>
      </c>
      <c r="M6" s="8">
        <v>24</v>
      </c>
      <c r="N6" s="8">
        <v>216</v>
      </c>
      <c r="O6" s="8">
        <v>100</v>
      </c>
      <c r="P6" s="8">
        <f t="shared" si="2"/>
        <v>-75</v>
      </c>
      <c r="Q6" s="8">
        <f t="shared" si="3"/>
        <v>-51</v>
      </c>
      <c r="R6" s="5" t="s">
        <v>37</v>
      </c>
      <c r="S6" s="6" t="s">
        <v>38</v>
      </c>
      <c r="T6" s="8">
        <v>265</v>
      </c>
      <c r="U6" s="8">
        <v>0</v>
      </c>
      <c r="V6" s="19"/>
      <c r="W6" s="19"/>
    </row>
    <row r="7" spans="1:23" x14ac:dyDescent="0.35">
      <c r="A7" s="9">
        <v>4</v>
      </c>
      <c r="B7" s="9" t="s">
        <v>39</v>
      </c>
      <c r="C7" s="10" t="s">
        <v>40</v>
      </c>
      <c r="D7" s="11">
        <v>46273.390909178241</v>
      </c>
      <c r="E7" s="13"/>
      <c r="F7" s="21" t="s">
        <v>41</v>
      </c>
      <c r="G7" s="12">
        <v>0</v>
      </c>
      <c r="H7" s="12">
        <v>0</v>
      </c>
      <c r="I7" s="12">
        <v>0</v>
      </c>
      <c r="J7" s="12">
        <f t="shared" si="0"/>
        <v>0</v>
      </c>
      <c r="K7" s="12">
        <v>0</v>
      </c>
      <c r="L7" s="12">
        <f t="shared" si="1"/>
        <v>0</v>
      </c>
      <c r="M7" s="12">
        <v>0</v>
      </c>
      <c r="N7" s="12">
        <v>0</v>
      </c>
      <c r="O7" s="12">
        <v>0</v>
      </c>
      <c r="P7" s="12">
        <f t="shared" si="2"/>
        <v>0</v>
      </c>
      <c r="Q7" s="12">
        <f t="shared" si="3"/>
        <v>0</v>
      </c>
      <c r="R7" s="9" t="s">
        <v>37</v>
      </c>
      <c r="S7" s="10" t="s">
        <v>42</v>
      </c>
      <c r="T7" s="12">
        <v>0</v>
      </c>
      <c r="U7" s="12">
        <v>0</v>
      </c>
      <c r="V7" s="19"/>
      <c r="W7" s="19"/>
    </row>
    <row r="8" spans="1:23" x14ac:dyDescent="0.35">
      <c r="A8" s="5">
        <v>5</v>
      </c>
      <c r="B8" s="5" t="s">
        <v>43</v>
      </c>
      <c r="C8" s="6" t="s">
        <v>28</v>
      </c>
      <c r="D8" s="7">
        <v>46281.288344479166</v>
      </c>
      <c r="E8" s="7">
        <v>46282.459760046295</v>
      </c>
      <c r="F8" s="5" t="s">
        <v>29</v>
      </c>
      <c r="G8" s="8">
        <v>155</v>
      </c>
      <c r="H8" s="8">
        <v>0</v>
      </c>
      <c r="I8" s="8">
        <v>0</v>
      </c>
      <c r="J8" s="8">
        <f t="shared" si="0"/>
        <v>155</v>
      </c>
      <c r="K8" s="8">
        <v>25</v>
      </c>
      <c r="L8" s="8">
        <f t="shared" si="1"/>
        <v>180</v>
      </c>
      <c r="M8" s="8">
        <v>15.5</v>
      </c>
      <c r="N8" s="8">
        <v>139.5</v>
      </c>
      <c r="O8" s="8">
        <v>100</v>
      </c>
      <c r="P8" s="8">
        <f t="shared" si="2"/>
        <v>-75</v>
      </c>
      <c r="Q8" s="8">
        <f t="shared" si="3"/>
        <v>-59.5</v>
      </c>
      <c r="R8" s="5" t="s">
        <v>37</v>
      </c>
      <c r="S8" s="6" t="s">
        <v>38</v>
      </c>
      <c r="T8" s="8">
        <v>180</v>
      </c>
      <c r="U8" s="8">
        <v>0</v>
      </c>
      <c r="V8" s="19"/>
      <c r="W8" s="19"/>
    </row>
    <row r="9" spans="1:23" x14ac:dyDescent="0.35">
      <c r="A9" s="9">
        <v>6</v>
      </c>
      <c r="B9" s="9" t="s">
        <v>44</v>
      </c>
      <c r="C9" s="10" t="s">
        <v>45</v>
      </c>
      <c r="D9" s="11">
        <v>46286.54576194445</v>
      </c>
      <c r="E9" s="13"/>
      <c r="F9" s="21" t="s">
        <v>41</v>
      </c>
      <c r="G9" s="12">
        <v>0</v>
      </c>
      <c r="H9" s="12">
        <v>0</v>
      </c>
      <c r="I9" s="12">
        <v>0</v>
      </c>
      <c r="J9" s="12">
        <f t="shared" si="0"/>
        <v>0</v>
      </c>
      <c r="K9" s="12">
        <v>0</v>
      </c>
      <c r="L9" s="12">
        <f t="shared" si="1"/>
        <v>0</v>
      </c>
      <c r="M9" s="12">
        <v>0</v>
      </c>
      <c r="N9" s="12">
        <v>0</v>
      </c>
      <c r="O9" s="12">
        <v>0</v>
      </c>
      <c r="P9" s="12">
        <f t="shared" si="2"/>
        <v>0</v>
      </c>
      <c r="Q9" s="12">
        <f t="shared" si="3"/>
        <v>0</v>
      </c>
      <c r="R9" s="9" t="s">
        <v>37</v>
      </c>
      <c r="S9" s="10" t="s">
        <v>42</v>
      </c>
      <c r="T9" s="12">
        <v>0</v>
      </c>
      <c r="U9" s="12">
        <v>0</v>
      </c>
      <c r="V9" s="19"/>
      <c r="W9" s="19"/>
    </row>
    <row r="10" spans="1:23" x14ac:dyDescent="0.35">
      <c r="A10" s="5">
        <v>7</v>
      </c>
      <c r="B10" s="5" t="s">
        <v>46</v>
      </c>
      <c r="C10" s="6" t="s">
        <v>40</v>
      </c>
      <c r="D10" s="7">
        <v>46287.443859999999</v>
      </c>
      <c r="E10" s="7">
        <v>46289.480196192133</v>
      </c>
      <c r="F10" s="5" t="s">
        <v>29</v>
      </c>
      <c r="G10" s="8">
        <v>459</v>
      </c>
      <c r="H10" s="8">
        <v>0</v>
      </c>
      <c r="I10" s="8">
        <v>0</v>
      </c>
      <c r="J10" s="8">
        <f t="shared" si="0"/>
        <v>459</v>
      </c>
      <c r="K10" s="8">
        <v>25</v>
      </c>
      <c r="L10" s="8">
        <f t="shared" si="1"/>
        <v>484</v>
      </c>
      <c r="M10" s="8">
        <v>68.849999999999994</v>
      </c>
      <c r="N10" s="8">
        <v>390.15</v>
      </c>
      <c r="O10" s="8">
        <v>100</v>
      </c>
      <c r="P10" s="8">
        <f t="shared" si="2"/>
        <v>-75</v>
      </c>
      <c r="Q10" s="8">
        <f t="shared" si="3"/>
        <v>-6.1499999999999773</v>
      </c>
      <c r="R10" s="5" t="s">
        <v>37</v>
      </c>
      <c r="S10" s="6" t="s">
        <v>38</v>
      </c>
      <c r="T10" s="8">
        <v>484</v>
      </c>
      <c r="U10" s="8">
        <v>0</v>
      </c>
      <c r="V10" s="19"/>
      <c r="W10" s="19"/>
    </row>
    <row r="11" spans="1:23" x14ac:dyDescent="0.35">
      <c r="A11" s="9">
        <v>8</v>
      </c>
      <c r="B11" s="9" t="s">
        <v>47</v>
      </c>
      <c r="C11" s="10" t="s">
        <v>48</v>
      </c>
      <c r="D11" s="11">
        <v>46287.593539872687</v>
      </c>
      <c r="E11" s="11">
        <v>46292.602878414356</v>
      </c>
      <c r="F11" s="9" t="s">
        <v>29</v>
      </c>
      <c r="G11" s="12">
        <v>150</v>
      </c>
      <c r="H11" s="12">
        <v>0</v>
      </c>
      <c r="I11" s="12">
        <v>0</v>
      </c>
      <c r="J11" s="12">
        <f t="shared" si="0"/>
        <v>150</v>
      </c>
      <c r="K11" s="12">
        <v>25</v>
      </c>
      <c r="L11" s="12">
        <f t="shared" si="1"/>
        <v>175</v>
      </c>
      <c r="M11" s="12">
        <v>22.5</v>
      </c>
      <c r="N11" s="12">
        <v>127.5</v>
      </c>
      <c r="O11" s="12">
        <v>100</v>
      </c>
      <c r="P11" s="12">
        <f t="shared" si="2"/>
        <v>-75</v>
      </c>
      <c r="Q11" s="12">
        <f t="shared" si="3"/>
        <v>-58.769999999999996</v>
      </c>
      <c r="R11" s="9" t="s">
        <v>33</v>
      </c>
      <c r="S11" s="10" t="s">
        <v>34</v>
      </c>
      <c r="T11" s="34">
        <v>175</v>
      </c>
      <c r="U11" s="12">
        <v>6.27</v>
      </c>
      <c r="V11" s="19"/>
      <c r="W11" s="19"/>
    </row>
    <row r="12" spans="1:23" x14ac:dyDescent="0.35">
      <c r="A12" s="5">
        <v>9</v>
      </c>
      <c r="B12" s="5" t="s">
        <v>49</v>
      </c>
      <c r="C12" s="6" t="s">
        <v>28</v>
      </c>
      <c r="D12" s="7">
        <v>46289.469314664355</v>
      </c>
      <c r="E12" s="7">
        <v>46292.460115462964</v>
      </c>
      <c r="F12" s="5" t="s">
        <v>29</v>
      </c>
      <c r="G12" s="8">
        <v>459</v>
      </c>
      <c r="H12" s="8">
        <v>0</v>
      </c>
      <c r="I12" s="8">
        <v>0</v>
      </c>
      <c r="J12" s="8">
        <f t="shared" si="0"/>
        <v>459</v>
      </c>
      <c r="K12" s="8">
        <v>25</v>
      </c>
      <c r="L12" s="8">
        <f t="shared" si="1"/>
        <v>484</v>
      </c>
      <c r="M12" s="8">
        <v>68.849999999999994</v>
      </c>
      <c r="N12" s="8">
        <v>390.15</v>
      </c>
      <c r="O12" s="8">
        <v>100</v>
      </c>
      <c r="P12" s="8">
        <f t="shared" si="2"/>
        <v>-75</v>
      </c>
      <c r="Q12" s="8">
        <f t="shared" si="3"/>
        <v>-19.469999999999978</v>
      </c>
      <c r="R12" s="5" t="s">
        <v>33</v>
      </c>
      <c r="S12" s="6" t="s">
        <v>34</v>
      </c>
      <c r="T12" s="34">
        <v>484</v>
      </c>
      <c r="U12" s="8">
        <v>13.32</v>
      </c>
      <c r="V12" s="19"/>
      <c r="W12" s="19"/>
    </row>
    <row r="13" spans="1:23" x14ac:dyDescent="0.35">
      <c r="A13" s="9">
        <v>10</v>
      </c>
      <c r="B13" s="9" t="s">
        <v>50</v>
      </c>
      <c r="C13" s="10" t="s">
        <v>28</v>
      </c>
      <c r="D13" s="11">
        <v>46290.393817743054</v>
      </c>
      <c r="E13" s="11">
        <v>46293.445757662033</v>
      </c>
      <c r="F13" s="9" t="s">
        <v>29</v>
      </c>
      <c r="G13" s="12">
        <v>400</v>
      </c>
      <c r="H13" s="12">
        <v>0</v>
      </c>
      <c r="I13" s="12">
        <v>0</v>
      </c>
      <c r="J13" s="12">
        <f t="shared" si="0"/>
        <v>400</v>
      </c>
      <c r="K13" s="12">
        <v>25</v>
      </c>
      <c r="L13" s="12">
        <f t="shared" si="1"/>
        <v>425</v>
      </c>
      <c r="M13" s="12">
        <v>40</v>
      </c>
      <c r="N13" s="12">
        <v>360</v>
      </c>
      <c r="O13" s="12">
        <v>100</v>
      </c>
      <c r="P13" s="12">
        <f t="shared" si="2"/>
        <v>-75</v>
      </c>
      <c r="Q13" s="12">
        <f t="shared" si="3"/>
        <v>-35</v>
      </c>
      <c r="R13" s="9" t="s">
        <v>37</v>
      </c>
      <c r="S13" s="10" t="s">
        <v>38</v>
      </c>
      <c r="T13" s="12">
        <v>425</v>
      </c>
      <c r="U13" s="12">
        <v>0</v>
      </c>
      <c r="V13" s="19"/>
      <c r="W13" s="19"/>
    </row>
    <row r="14" spans="1:23" x14ac:dyDescent="0.35">
      <c r="A14" s="5">
        <v>11</v>
      </c>
      <c r="B14" s="5" t="s">
        <v>51</v>
      </c>
      <c r="C14" s="6" t="s">
        <v>28</v>
      </c>
      <c r="D14" s="7">
        <v>46292.822449490741</v>
      </c>
      <c r="E14" s="7">
        <v>46294.382956261572</v>
      </c>
      <c r="F14" s="5" t="s">
        <v>29</v>
      </c>
      <c r="G14" s="8">
        <v>194</v>
      </c>
      <c r="H14" s="8">
        <v>0</v>
      </c>
      <c r="I14" s="8">
        <v>0</v>
      </c>
      <c r="J14" s="8">
        <f t="shared" si="0"/>
        <v>194</v>
      </c>
      <c r="K14" s="8">
        <v>25</v>
      </c>
      <c r="L14" s="8">
        <f t="shared" si="1"/>
        <v>219</v>
      </c>
      <c r="M14" s="8">
        <v>19.399999999999999</v>
      </c>
      <c r="N14" s="8">
        <v>174.6</v>
      </c>
      <c r="O14" s="8">
        <v>100</v>
      </c>
      <c r="P14" s="8">
        <f t="shared" si="2"/>
        <v>-75</v>
      </c>
      <c r="Q14" s="8">
        <f t="shared" si="3"/>
        <v>-55.599999999999994</v>
      </c>
      <c r="R14" s="5" t="s">
        <v>30</v>
      </c>
      <c r="S14" s="6" t="s">
        <v>31</v>
      </c>
      <c r="T14" s="8">
        <v>219</v>
      </c>
      <c r="U14" s="8">
        <v>0</v>
      </c>
      <c r="V14" s="19"/>
      <c r="W14" s="19"/>
    </row>
    <row r="15" spans="1:23" x14ac:dyDescent="0.35">
      <c r="B15" s="14" t="s">
        <v>52</v>
      </c>
      <c r="G15" s="15">
        <f t="shared" ref="G15:Q15" si="4">SUM(G4:G14)</f>
        <v>2575</v>
      </c>
      <c r="H15" s="15">
        <f t="shared" si="4"/>
        <v>13.9</v>
      </c>
      <c r="I15" s="15">
        <f t="shared" si="4"/>
        <v>0</v>
      </c>
      <c r="J15" s="15">
        <f t="shared" si="4"/>
        <v>2561.1</v>
      </c>
      <c r="K15" s="15">
        <f t="shared" si="4"/>
        <v>535</v>
      </c>
      <c r="L15" s="15">
        <f t="shared" si="4"/>
        <v>3096.1</v>
      </c>
      <c r="M15" s="15">
        <f t="shared" si="4"/>
        <v>313.54999999999995</v>
      </c>
      <c r="N15" s="15">
        <f t="shared" si="4"/>
        <v>2261.4499999999998</v>
      </c>
      <c r="O15" s="15">
        <f t="shared" si="4"/>
        <v>1000</v>
      </c>
      <c r="P15" s="15">
        <f t="shared" si="4"/>
        <v>-465</v>
      </c>
      <c r="Q15" s="15">
        <f t="shared" si="4"/>
        <v>-198.70999999999992</v>
      </c>
      <c r="T15" s="15">
        <f>SUM(T4:T14)</f>
        <v>3096.1</v>
      </c>
      <c r="U15" s="15">
        <f>SUM(U4:U14)</f>
        <v>33.36</v>
      </c>
    </row>
    <row r="16" spans="1:23" x14ac:dyDescent="0.35">
      <c r="L16" s="30"/>
      <c r="M16" s="30"/>
    </row>
    <row r="17" spans="2:20" x14ac:dyDescent="0.35">
      <c r="B17" s="16" t="s">
        <v>53</v>
      </c>
      <c r="T17" s="8"/>
    </row>
    <row r="18" spans="2:20" x14ac:dyDescent="0.35">
      <c r="B18" s="17" t="s">
        <v>54</v>
      </c>
      <c r="T18" s="30"/>
    </row>
    <row r="19" spans="2:20" x14ac:dyDescent="0.35">
      <c r="B19" s="17" t="s">
        <v>55</v>
      </c>
      <c r="T19" s="30"/>
    </row>
    <row r="20" spans="2:20" x14ac:dyDescent="0.35">
      <c r="B20" s="17" t="s">
        <v>56</v>
      </c>
    </row>
    <row r="21" spans="2:20" x14ac:dyDescent="0.35">
      <c r="B21" s="17" t="s">
        <v>57</v>
      </c>
    </row>
    <row r="22" spans="2:20" x14ac:dyDescent="0.35">
      <c r="B22" s="17" t="s">
        <v>58</v>
      </c>
    </row>
    <row r="23" spans="2:20" x14ac:dyDescent="0.35">
      <c r="B23" s="17" t="s">
        <v>59</v>
      </c>
    </row>
    <row r="24" spans="2:20" x14ac:dyDescent="0.35">
      <c r="B24" s="17" t="s">
        <v>60</v>
      </c>
    </row>
    <row r="25" spans="2:20" x14ac:dyDescent="0.35">
      <c r="B25" s="17" t="s">
        <v>61</v>
      </c>
    </row>
  </sheetData>
  <mergeCells count="3">
    <mergeCell ref="M2:P2"/>
    <mergeCell ref="V4:V14"/>
    <mergeCell ref="W4:W14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86ED-BF60-40E0-BD2C-57E58AACA865}">
  <dimension ref="A1:L22"/>
  <sheetViews>
    <sheetView rightToLeft="1" workbookViewId="0">
      <selection activeCell="A8" sqref="A8"/>
    </sheetView>
  </sheetViews>
  <sheetFormatPr defaultRowHeight="15.5" x14ac:dyDescent="0.35"/>
  <cols>
    <col min="1" max="1" width="34.36328125" style="44" customWidth="1"/>
    <col min="2" max="2" width="13.7265625" customWidth="1"/>
    <col min="3" max="3" width="4.6328125" customWidth="1"/>
    <col min="4" max="4" width="17.36328125" customWidth="1"/>
    <col min="5" max="5" width="11.453125" bestFit="1" customWidth="1"/>
    <col min="6" max="6" width="12.453125" bestFit="1" customWidth="1"/>
    <col min="7" max="7" width="9.6328125" bestFit="1" customWidth="1"/>
    <col min="8" max="8" width="12.90625" bestFit="1" customWidth="1"/>
    <col min="9" max="9" width="11.6328125" bestFit="1" customWidth="1"/>
    <col min="10" max="10" width="16.26953125" customWidth="1"/>
    <col min="11" max="11" width="10.08984375" customWidth="1"/>
    <col min="12" max="12" width="11.36328125" bestFit="1" customWidth="1"/>
  </cols>
  <sheetData>
    <row r="1" spans="1:12" x14ac:dyDescent="0.35">
      <c r="A1" s="39" t="s">
        <v>62</v>
      </c>
      <c r="B1" s="23">
        <v>4125.6000000000004</v>
      </c>
      <c r="D1" s="28" t="s">
        <v>71</v>
      </c>
    </row>
    <row r="2" spans="1:12" x14ac:dyDescent="0.35">
      <c r="A2" s="41"/>
      <c r="B2" s="38"/>
      <c r="D2" s="38"/>
      <c r="E2" s="35" t="s">
        <v>76</v>
      </c>
      <c r="F2" s="35" t="s">
        <v>77</v>
      </c>
      <c r="G2" s="35" t="s">
        <v>84</v>
      </c>
      <c r="H2" s="35" t="s">
        <v>78</v>
      </c>
      <c r="I2" s="35" t="s">
        <v>72</v>
      </c>
      <c r="J2" s="35" t="s">
        <v>74</v>
      </c>
      <c r="K2" s="35" t="s">
        <v>73</v>
      </c>
      <c r="L2" s="35" t="s">
        <v>24</v>
      </c>
    </row>
    <row r="3" spans="1:12" ht="18" x14ac:dyDescent="0.4">
      <c r="A3" s="39" t="s">
        <v>64</v>
      </c>
      <c r="B3" s="24">
        <v>445</v>
      </c>
      <c r="D3" s="32" t="s">
        <v>34</v>
      </c>
      <c r="E3" s="46">
        <v>750</v>
      </c>
      <c r="F3" s="49">
        <v>283.5</v>
      </c>
      <c r="G3" s="49">
        <v>200</v>
      </c>
      <c r="H3" s="46">
        <v>1163.0999999999999</v>
      </c>
      <c r="I3" s="46">
        <v>2396.6</v>
      </c>
      <c r="J3" s="46">
        <v>2323.7199999999998</v>
      </c>
      <c r="K3" s="46">
        <v>72.88</v>
      </c>
      <c r="L3" s="46">
        <v>33.36</v>
      </c>
    </row>
    <row r="4" spans="1:12" ht="18" x14ac:dyDescent="0.4">
      <c r="A4" s="39" t="s">
        <v>63</v>
      </c>
      <c r="B4" s="25">
        <v>3607.72</v>
      </c>
      <c r="D4" s="32" t="s">
        <v>70</v>
      </c>
      <c r="E4" s="46"/>
      <c r="F4" s="46"/>
      <c r="G4" s="49">
        <v>375</v>
      </c>
      <c r="H4" s="46"/>
      <c r="I4" s="46">
        <v>375</v>
      </c>
      <c r="J4" s="46">
        <v>375</v>
      </c>
      <c r="K4" s="46"/>
      <c r="L4" s="46">
        <v>0</v>
      </c>
    </row>
    <row r="5" spans="1:12" ht="18" x14ac:dyDescent="0.4">
      <c r="A5" s="39" t="s">
        <v>65</v>
      </c>
      <c r="B5" s="26">
        <v>72.88</v>
      </c>
      <c r="D5" s="32" t="s">
        <v>79</v>
      </c>
      <c r="E5" s="46"/>
      <c r="F5" s="46"/>
      <c r="G5" s="46"/>
      <c r="H5" s="46">
        <v>1354</v>
      </c>
      <c r="I5" s="46">
        <v>445</v>
      </c>
      <c r="J5" s="46">
        <f>H5-I5</f>
        <v>909</v>
      </c>
      <c r="K5" s="46"/>
      <c r="L5" s="46">
        <v>0</v>
      </c>
    </row>
    <row r="6" spans="1:12" x14ac:dyDescent="0.35">
      <c r="A6" s="42" t="s">
        <v>68</v>
      </c>
      <c r="B6" s="31"/>
      <c r="D6" s="38"/>
      <c r="E6" s="36">
        <f t="shared" ref="E6:F6" si="0">SUM(E3:E5)</f>
        <v>750</v>
      </c>
      <c r="F6" s="36">
        <f t="shared" si="0"/>
        <v>283.5</v>
      </c>
      <c r="G6" s="36">
        <f>SUM(G3:G5)</f>
        <v>575</v>
      </c>
      <c r="H6" s="58">
        <f>SUM(H3:H5)</f>
        <v>2517.1</v>
      </c>
      <c r="I6" s="36">
        <f t="shared" ref="I6:L6" si="1">SUM(I3:I5)</f>
        <v>3216.6</v>
      </c>
      <c r="J6" s="36">
        <f>SUM(J3:J5)</f>
        <v>3607.72</v>
      </c>
      <c r="K6" s="36">
        <f>SUM(K3:K5)</f>
        <v>72.88</v>
      </c>
      <c r="L6" s="36">
        <f>SUM(L3:L5)</f>
        <v>33.36</v>
      </c>
    </row>
    <row r="7" spans="1:12" x14ac:dyDescent="0.35">
      <c r="A7" s="20" t="s">
        <v>66</v>
      </c>
      <c r="B7" s="29">
        <v>2698.72</v>
      </c>
    </row>
    <row r="8" spans="1:12" x14ac:dyDescent="0.35">
      <c r="A8" s="20" t="s">
        <v>67</v>
      </c>
      <c r="B8" s="26">
        <v>909</v>
      </c>
      <c r="D8" s="38"/>
      <c r="E8" s="35" t="s">
        <v>76</v>
      </c>
      <c r="F8" s="35"/>
      <c r="G8" s="35"/>
      <c r="H8" s="35" t="s">
        <v>80</v>
      </c>
      <c r="I8" s="35" t="s">
        <v>81</v>
      </c>
      <c r="J8" s="50" t="s">
        <v>82</v>
      </c>
      <c r="K8" s="35" t="s">
        <v>74</v>
      </c>
    </row>
    <row r="9" spans="1:12" ht="18.5" x14ac:dyDescent="0.45">
      <c r="A9" s="43" t="s">
        <v>69</v>
      </c>
      <c r="B9" s="37">
        <f>SUM(B7:B8)</f>
        <v>3607.72</v>
      </c>
      <c r="D9" s="44" t="s">
        <v>75</v>
      </c>
      <c r="E9" s="27">
        <v>750</v>
      </c>
      <c r="F9" s="27"/>
      <c r="H9" s="27">
        <v>579</v>
      </c>
      <c r="I9" s="48">
        <f>E9-H9</f>
        <v>171</v>
      </c>
      <c r="J9" s="40">
        <v>-375</v>
      </c>
      <c r="K9" s="22">
        <v>546</v>
      </c>
    </row>
    <row r="10" spans="1:12" ht="18.5" x14ac:dyDescent="0.45">
      <c r="A10" s="43"/>
      <c r="B10" s="37"/>
      <c r="D10" s="43"/>
      <c r="E10" s="51"/>
      <c r="F10" s="51"/>
      <c r="G10" s="35"/>
      <c r="H10" s="57">
        <f>SUM(H9)</f>
        <v>579</v>
      </c>
      <c r="I10" s="51">
        <f t="shared" ref="I10:K10" si="2">SUM(I9)</f>
        <v>171</v>
      </c>
      <c r="J10" s="51">
        <f t="shared" si="2"/>
        <v>-375</v>
      </c>
      <c r="K10" s="51">
        <f t="shared" si="2"/>
        <v>546</v>
      </c>
    </row>
    <row r="11" spans="1:12" x14ac:dyDescent="0.35">
      <c r="D11" s="55" t="s">
        <v>83</v>
      </c>
      <c r="E11" s="53"/>
      <c r="F11" s="53"/>
      <c r="G11" s="53"/>
      <c r="H11" s="56">
        <f>H6+H10</f>
        <v>3096.1</v>
      </c>
      <c r="I11" s="53"/>
      <c r="J11" s="53"/>
      <c r="K11" s="53"/>
    </row>
    <row r="12" spans="1:12" ht="18" x14ac:dyDescent="0.4">
      <c r="A12" s="59" t="s">
        <v>86</v>
      </c>
      <c r="B12" s="23">
        <f>B1</f>
        <v>4125.6000000000004</v>
      </c>
      <c r="D12" s="32" t="s">
        <v>34</v>
      </c>
      <c r="H12" s="46">
        <v>1163.0999999999999</v>
      </c>
    </row>
    <row r="13" spans="1:12" ht="18" x14ac:dyDescent="0.4">
      <c r="A13" s="55" t="s">
        <v>87</v>
      </c>
      <c r="B13" s="56">
        <f>H16</f>
        <v>3096.1</v>
      </c>
      <c r="D13" s="32" t="s">
        <v>70</v>
      </c>
      <c r="F13" s="33"/>
      <c r="G13" s="33"/>
      <c r="H13" s="46"/>
    </row>
    <row r="14" spans="1:12" ht="18" x14ac:dyDescent="0.4">
      <c r="A14" s="59" t="s">
        <v>88</v>
      </c>
      <c r="B14" s="49">
        <f>I9+G4+G3+F3</f>
        <v>1029.5</v>
      </c>
      <c r="D14" s="32" t="s">
        <v>79</v>
      </c>
      <c r="H14" s="46">
        <v>1354</v>
      </c>
    </row>
    <row r="15" spans="1:12" ht="18" x14ac:dyDescent="0.4">
      <c r="D15" s="32" t="s">
        <v>85</v>
      </c>
      <c r="H15" s="46">
        <v>579</v>
      </c>
    </row>
    <row r="16" spans="1:12" ht="18.5" x14ac:dyDescent="0.45">
      <c r="B16" s="33"/>
      <c r="D16" s="52" t="s">
        <v>83</v>
      </c>
      <c r="E16" s="52"/>
      <c r="F16" s="52"/>
      <c r="G16" s="53"/>
      <c r="H16" s="54">
        <f>SUM(H12:H15)</f>
        <v>3096.1</v>
      </c>
      <c r="I16" s="53"/>
      <c r="J16" s="53"/>
      <c r="K16" s="53"/>
    </row>
    <row r="18" spans="2:11" ht="18.5" thickBot="1" x14ac:dyDescent="0.45">
      <c r="B18" s="33"/>
      <c r="D18" s="32" t="s">
        <v>83</v>
      </c>
      <c r="E18" s="47">
        <v>3096.1</v>
      </c>
    </row>
    <row r="19" spans="2:11" x14ac:dyDescent="0.35">
      <c r="B19" s="61"/>
      <c r="C19">
        <v>1</v>
      </c>
      <c r="D19" s="47" t="s">
        <v>89</v>
      </c>
      <c r="E19" s="15">
        <v>2261.4499999999998</v>
      </c>
      <c r="F19" s="45" t="s">
        <v>93</v>
      </c>
      <c r="G19" s="45"/>
      <c r="H19" s="15">
        <v>72.89</v>
      </c>
      <c r="J19" t="s">
        <v>94</v>
      </c>
      <c r="K19" s="15">
        <f>E19-H19</f>
        <v>2188.56</v>
      </c>
    </row>
    <row r="20" spans="2:11" ht="16" thickBot="1" x14ac:dyDescent="0.4">
      <c r="B20" s="29"/>
      <c r="C20">
        <v>2</v>
      </c>
      <c r="D20" s="47" t="s">
        <v>16</v>
      </c>
      <c r="E20">
        <v>313.54999999999995</v>
      </c>
    </row>
    <row r="21" spans="2:11" x14ac:dyDescent="0.35">
      <c r="C21">
        <v>3</v>
      </c>
      <c r="D21" s="47" t="s">
        <v>90</v>
      </c>
      <c r="E21" s="15">
        <v>535</v>
      </c>
      <c r="F21" s="45" t="s">
        <v>92</v>
      </c>
      <c r="G21" s="45"/>
      <c r="H21" s="15">
        <v>1000</v>
      </c>
      <c r="J21" t="s">
        <v>19</v>
      </c>
      <c r="K21" s="60">
        <f>E21-H21</f>
        <v>-465</v>
      </c>
    </row>
    <row r="22" spans="2:11" x14ac:dyDescent="0.35">
      <c r="C22">
        <v>4</v>
      </c>
      <c r="D22" s="47" t="s">
        <v>91</v>
      </c>
      <c r="E22">
        <v>-13.9</v>
      </c>
    </row>
  </sheetData>
  <mergeCells count="3">
    <mergeCell ref="D16:F16"/>
    <mergeCell ref="F21:G21"/>
    <mergeCell ref="F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تقرير التتبع</vt:lpstr>
      <vt:lpstr>تحليل المبيعات والمدفوعات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2026-10-03T12:44:02Z</dcterms:created>
  <dcterms:modified xsi:type="dcterms:W3CDTF">2026-10-03T14:34:54Z</dcterms:modified>
  <cp:category/>
</cp:coreProperties>
</file>